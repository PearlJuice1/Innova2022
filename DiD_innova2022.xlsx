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monterrosa/Desktop/TFG/"/>
    </mc:Choice>
  </mc:AlternateContent>
  <xr:revisionPtr revIDLastSave="0" documentId="13_ncr:1_{7D90413E-529F-7B4A-8D93-2D3D07884DDB}" xr6:coauthVersionLast="47" xr6:coauthVersionMax="47" xr10:uidLastSave="{00000000-0000-0000-0000-000000000000}"/>
  <bookViews>
    <workbookView xWindow="780" yWindow="1000" windowWidth="27640" windowHeight="16440" xr2:uid="{FC8942A7-3EEC-B744-A261-3C56109642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2" i="1"/>
  <c r="N3" i="1"/>
  <c r="N4" i="1"/>
  <c r="N5" i="1"/>
  <c r="N6" i="1"/>
  <c r="N7" i="1"/>
  <c r="N8" i="1"/>
  <c r="N9" i="1"/>
  <c r="N10" i="1"/>
  <c r="N11" i="1"/>
  <c r="N12" i="1"/>
  <c r="M3" i="1"/>
  <c r="M4" i="1"/>
  <c r="M5" i="1"/>
  <c r="M6" i="1"/>
  <c r="M7" i="1"/>
  <c r="M8" i="1"/>
  <c r="M9" i="1"/>
  <c r="M10" i="1"/>
  <c r="M11" i="1"/>
  <c r="M12" i="1"/>
  <c r="N2" i="1"/>
  <c r="M2" i="1"/>
</calcChain>
</file>

<file path=xl/sharedStrings.xml><?xml version="1.0" encoding="utf-8"?>
<sst xmlns="http://schemas.openxmlformats.org/spreadsheetml/2006/main" count="59" uniqueCount="51">
  <si>
    <t>HP PRINTING AND COMPUTING SOLUTIONS SLU</t>
  </si>
  <si>
    <t>LAS ROZAS DE MADRID</t>
  </si>
  <si>
    <t>Fabricación de otros productos de plástico. Comercio al por mayor de equipos electrónicos y de telecomunicaciones y sus componentes. Servicios técnicos de ingeniería y otras actividades relacionadas con el asesoramiento técnico. Otra investigación y desarrollo experimental en ciencias naturales y té.</t>
  </si>
  <si>
    <t>Empresa muy grande</t>
  </si>
  <si>
    <t>MAHLE ELECTRONICS SLU</t>
  </si>
  <si>
    <t>MOTILLA DEL PALANCAR</t>
  </si>
  <si>
    <t>Fabricacion de equipos de control y electrónicos para sector automoción.</t>
  </si>
  <si>
    <t>TROLLI IBERICA SAU</t>
  </si>
  <si>
    <t>PATERNA</t>
  </si>
  <si>
    <t>Fabricación de gominolas</t>
  </si>
  <si>
    <t>Empresa grande</t>
  </si>
  <si>
    <t>ISATI ENGINEERING SOLUTIONS SOCIEDAD LIMITADA.</t>
  </si>
  <si>
    <t>VITORIA-GASTEIZ</t>
  </si>
  <si>
    <t>Planificación y desarrollo de proyectos de ingeniería.</t>
  </si>
  <si>
    <t>Empresa mediana</t>
  </si>
  <si>
    <t>UM AUTONOMOUS SYSTEMS SPAIN S.L.</t>
  </si>
  <si>
    <t>BARCELONA</t>
  </si>
  <si>
    <t>DESARROLLO DE SOFTWARE PARA ROBOTS Y DRONES AUTONOMOS</t>
  </si>
  <si>
    <t>BIOTECH FOODS SL.</t>
  </si>
  <si>
    <t>DONOSTIA/SAN SEBASTIAN</t>
  </si>
  <si>
    <t>la investigación, desarrollo e innovación en tecnología alimentaria así como la promoción y comercialización de productos alimentarios</t>
  </si>
  <si>
    <t>empresa</t>
  </si>
  <si>
    <t>ciudad</t>
  </si>
  <si>
    <t>descripcion</t>
  </si>
  <si>
    <t>clasificacion_tamano</t>
  </si>
  <si>
    <t>fecha_incorporación</t>
  </si>
  <si>
    <t>Ingresos_2023</t>
  </si>
  <si>
    <t>empleados_2023</t>
  </si>
  <si>
    <t>empleados_2021</t>
  </si>
  <si>
    <t>otrosGastos _id_2023</t>
  </si>
  <si>
    <t>otrosGastos _id_2021</t>
  </si>
  <si>
    <t>tratamiento</t>
  </si>
  <si>
    <t>Ingresos_2021</t>
  </si>
  <si>
    <t>HIMOINSA SL</t>
  </si>
  <si>
    <t>GETAFE</t>
  </si>
  <si>
    <t>Fabricación y comercialización de grupo electrógenos</t>
  </si>
  <si>
    <t>DEUTZ SPAIN S.A.</t>
  </si>
  <si>
    <t>ZAFRA</t>
  </si>
  <si>
    <t>Fabricación de culatas, bielas y engranes.</t>
  </si>
  <si>
    <t>DR. SCHAR ESPANA, SLU</t>
  </si>
  <si>
    <t>ALAGON</t>
  </si>
  <si>
    <t>Fabricación y venta de productos sin gluten.</t>
  </si>
  <si>
    <t>CLUE TECHNOLOGIES SL.</t>
  </si>
  <si>
    <t>MALAGA</t>
  </si>
  <si>
    <t>Desarrollo de sistemas embebidos para el sector aeronáutico.</t>
  </si>
  <si>
    <t>ELEMENT MATERIALS TECHNOLOGY SEVILLE SL.</t>
  </si>
  <si>
    <t>LA RINCONADA</t>
  </si>
  <si>
    <t>Gestión y explotación de laboratorio de ensayos y análisis técnicos de materiales de aeronáutica.</t>
  </si>
  <si>
    <t>productividad_empleado_2021</t>
  </si>
  <si>
    <t>productividad_empleado_2023</t>
  </si>
  <si>
    <t>creacion_empleo_2023_2021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</si>
</sst>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7" formatCode="#,##0.0\ &quot;€&quot;"/>
  </numFmts>
  <fonts count="8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7">
    <xf numFmtId="0" fontId="0" fillId="0" borderId="0" xfId="0"/>
    <xf numFmtId="0" fontId="2" fillId="0" borderId="0" xfId="1" applyFont="1" applyAlignment="1">
      <alignment horizontal="left" vertical="top" wrapText="1"/>
    </xf>
    <xf numFmtId="14" fontId="2" fillId="0" borderId="0" xfId="1" applyNumberFormat="1" applyFont="1" applyAlignment="1">
      <alignment horizontal="right" vertical="top"/>
    </xf>
    <xf numFmtId="164" fontId="2" fillId="0" borderId="0" xfId="1" applyNumberFormat="1" applyFont="1" applyAlignment="1">
      <alignment horizontal="right" vertical="top"/>
    </xf>
    <xf numFmtId="1" fontId="2" fillId="0" borderId="0" xfId="1" applyNumberFormat="1" applyFont="1" applyAlignment="1">
      <alignment horizontal="right" vertical="top"/>
    </xf>
    <xf numFmtId="0" fontId="2" fillId="0" borderId="0" xfId="1" applyFont="1" applyAlignment="1">
      <alignment horizontal="right" vertical="top" wrapText="1"/>
    </xf>
    <xf numFmtId="0" fontId="3" fillId="0" borderId="0" xfId="1" applyFont="1"/>
    <xf numFmtId="0" fontId="4" fillId="0" borderId="0" xfId="1" applyFont="1" applyAlignment="1">
      <alignment horizontal="left" vertical="top" wrapText="1"/>
    </xf>
    <xf numFmtId="14" fontId="4" fillId="0" borderId="0" xfId="1" applyNumberFormat="1" applyFont="1" applyAlignment="1">
      <alignment horizontal="right" vertical="top"/>
    </xf>
    <xf numFmtId="164" fontId="4" fillId="0" borderId="0" xfId="1" applyNumberFormat="1" applyFont="1" applyAlignment="1">
      <alignment horizontal="right" vertical="top"/>
    </xf>
    <xf numFmtId="1" fontId="4" fillId="0" borderId="0" xfId="1" applyNumberFormat="1" applyFont="1" applyAlignment="1">
      <alignment horizontal="right" vertical="top"/>
    </xf>
    <xf numFmtId="0" fontId="4" fillId="0" borderId="0" xfId="1" applyFont="1" applyAlignment="1">
      <alignment horizontal="right" vertical="top" wrapText="1"/>
    </xf>
    <xf numFmtId="0" fontId="1" fillId="0" borderId="0" xfId="1"/>
    <xf numFmtId="0" fontId="5" fillId="0" borderId="1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2" fillId="0" borderId="0" xfId="2" applyFont="1" applyAlignment="1">
      <alignment horizontal="left" vertical="top" wrapText="1"/>
    </xf>
    <xf numFmtId="14" fontId="2" fillId="0" borderId="0" xfId="2" applyNumberFormat="1" applyFont="1" applyAlignment="1">
      <alignment horizontal="right" vertical="top"/>
    </xf>
    <xf numFmtId="164" fontId="2" fillId="0" borderId="0" xfId="2" applyNumberFormat="1" applyFont="1" applyAlignment="1">
      <alignment horizontal="right" vertical="top"/>
    </xf>
    <xf numFmtId="1" fontId="2" fillId="0" borderId="0" xfId="2" applyNumberFormat="1" applyFont="1" applyAlignment="1">
      <alignment horizontal="right" vertical="top"/>
    </xf>
    <xf numFmtId="0" fontId="2" fillId="0" borderId="0" xfId="2" applyFont="1" applyAlignment="1">
      <alignment horizontal="right" vertical="top" wrapText="1"/>
    </xf>
    <xf numFmtId="0" fontId="4" fillId="0" borderId="0" xfId="2" applyFont="1" applyAlignment="1">
      <alignment horizontal="left" vertical="top" wrapText="1"/>
    </xf>
    <xf numFmtId="14" fontId="4" fillId="0" borderId="0" xfId="2" applyNumberFormat="1" applyFont="1" applyAlignment="1">
      <alignment horizontal="right" vertical="top"/>
    </xf>
    <xf numFmtId="164" fontId="4" fillId="0" borderId="0" xfId="2" applyNumberFormat="1" applyFont="1" applyAlignment="1">
      <alignment horizontal="right" vertical="top"/>
    </xf>
    <xf numFmtId="1" fontId="4" fillId="0" borderId="0" xfId="2" applyNumberFormat="1" applyFont="1" applyAlignment="1">
      <alignment horizontal="right" vertical="top"/>
    </xf>
    <xf numFmtId="0" fontId="4" fillId="0" borderId="0" xfId="2" applyFont="1" applyAlignment="1">
      <alignment horizontal="right" vertical="top" wrapText="1"/>
    </xf>
    <xf numFmtId="167" fontId="3" fillId="0" borderId="0" xfId="1" applyNumberFormat="1" applyFont="1"/>
    <xf numFmtId="1" fontId="3" fillId="0" borderId="0" xfId="1" applyNumberFormat="1" applyFont="1"/>
  </cellXfs>
  <cellStyles count="3">
    <cellStyle name="Normal" xfId="0" builtinId="0"/>
    <cellStyle name="Normal 2" xfId="1" xr:uid="{BF3CB1A5-36D9-8349-884F-4630E020B0EB}"/>
    <cellStyle name="Normal 3" xfId="2" xr:uid="{D6E47626-FD67-7744-8F93-59470D274F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82BB-D06D-8448-B95F-7F461EE5BF98}">
  <dimension ref="A1:O12"/>
  <sheetViews>
    <sheetView tabSelected="1" topLeftCell="A2" workbookViewId="0">
      <selection activeCell="G7" sqref="G7"/>
    </sheetView>
  </sheetViews>
  <sheetFormatPr baseColWidth="10" defaultRowHeight="16" x14ac:dyDescent="0.2"/>
  <cols>
    <col min="6" max="6" width="14.83203125" customWidth="1"/>
    <col min="7" max="7" width="14" customWidth="1"/>
    <col min="8" max="8" width="13.5" customWidth="1"/>
    <col min="9" max="9" width="12.1640625" customWidth="1"/>
    <col min="10" max="10" width="12.33203125" customWidth="1"/>
    <col min="11" max="11" width="12.83203125" customWidth="1"/>
    <col min="14" max="14" width="10.33203125" bestFit="1" customWidth="1"/>
  </cols>
  <sheetData>
    <row r="1" spans="1:15" s="14" customFormat="1" ht="49.25" customHeight="1" x14ac:dyDescent="0.2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32</v>
      </c>
      <c r="H1" s="13" t="s">
        <v>27</v>
      </c>
      <c r="I1" s="13" t="s">
        <v>28</v>
      </c>
      <c r="J1" s="13" t="s">
        <v>29</v>
      </c>
      <c r="K1" s="13" t="s">
        <v>30</v>
      </c>
      <c r="L1" s="13" t="s">
        <v>31</v>
      </c>
      <c r="M1" s="13" t="s">
        <v>49</v>
      </c>
      <c r="N1" s="13" t="s">
        <v>48</v>
      </c>
      <c r="O1" s="13" t="s">
        <v>50</v>
      </c>
    </row>
    <row r="2" spans="1:15" s="6" customFormat="1" ht="147.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2">
        <v>26039</v>
      </c>
      <c r="F2" s="3">
        <v>1249827000</v>
      </c>
      <c r="G2" s="3">
        <v>1351929000</v>
      </c>
      <c r="H2" s="4">
        <v>2797</v>
      </c>
      <c r="I2" s="4">
        <v>2559</v>
      </c>
      <c r="J2" s="3">
        <v>501866000</v>
      </c>
      <c r="K2" s="3">
        <v>465768000</v>
      </c>
      <c r="L2" s="5">
        <v>1</v>
      </c>
      <c r="M2" s="25">
        <f>F2/H2</f>
        <v>446845.54880228819</v>
      </c>
      <c r="N2" s="25">
        <f>G2/I2</f>
        <v>528303.63423212187</v>
      </c>
      <c r="O2" s="26">
        <f>H2-I2</f>
        <v>238</v>
      </c>
    </row>
    <row r="3" spans="1:15" s="12" customFormat="1" ht="40.75" customHeight="1" x14ac:dyDescent="0.2">
      <c r="A3" s="7" t="s">
        <v>4</v>
      </c>
      <c r="B3" s="7" t="s">
        <v>5</v>
      </c>
      <c r="C3" s="7" t="s">
        <v>6</v>
      </c>
      <c r="D3" s="7" t="s">
        <v>3</v>
      </c>
      <c r="E3" s="8">
        <v>25942</v>
      </c>
      <c r="F3" s="9">
        <v>257709037.15000001</v>
      </c>
      <c r="G3" s="9">
        <v>214907739</v>
      </c>
      <c r="H3" s="10">
        <v>1613</v>
      </c>
      <c r="I3" s="10">
        <v>1378</v>
      </c>
      <c r="J3" s="9">
        <v>201057274.80899999</v>
      </c>
      <c r="K3" s="9">
        <v>95340345</v>
      </c>
      <c r="L3" s="11">
        <v>1</v>
      </c>
      <c r="M3" s="25">
        <f t="shared" ref="M3:M12" si="0">F3/H3</f>
        <v>159770.0168319901</v>
      </c>
      <c r="N3" s="25">
        <f t="shared" ref="N3:N12" si="1">G3/I3</f>
        <v>155956.26923076922</v>
      </c>
      <c r="O3" s="26">
        <f t="shared" ref="O3:O12" si="2">H3-I3</f>
        <v>235</v>
      </c>
    </row>
    <row r="4" spans="1:15" s="12" customFormat="1" ht="36" customHeight="1" x14ac:dyDescent="0.2">
      <c r="A4" s="7" t="s">
        <v>7</v>
      </c>
      <c r="B4" s="7" t="s">
        <v>8</v>
      </c>
      <c r="C4" s="7" t="s">
        <v>9</v>
      </c>
      <c r="D4" s="7" t="s">
        <v>10</v>
      </c>
      <c r="E4" s="8">
        <v>34500</v>
      </c>
      <c r="F4" s="9">
        <v>61976301.119999997</v>
      </c>
      <c r="G4" s="9">
        <v>34281972.509000003</v>
      </c>
      <c r="H4" s="10">
        <v>404</v>
      </c>
      <c r="I4" s="10">
        <v>257</v>
      </c>
      <c r="J4" s="9">
        <v>26415557.859999999</v>
      </c>
      <c r="K4" s="9">
        <v>15990824.470000001</v>
      </c>
      <c r="L4" s="11">
        <v>1</v>
      </c>
      <c r="M4" s="25">
        <f t="shared" si="0"/>
        <v>153406.68594059406</v>
      </c>
      <c r="N4" s="25">
        <f t="shared" si="1"/>
        <v>133392.88914007784</v>
      </c>
      <c r="O4" s="26">
        <f t="shared" si="2"/>
        <v>147</v>
      </c>
    </row>
    <row r="5" spans="1:15" s="12" customFormat="1" ht="36" customHeight="1" x14ac:dyDescent="0.2">
      <c r="A5" s="7" t="s">
        <v>11</v>
      </c>
      <c r="B5" s="7" t="s">
        <v>12</v>
      </c>
      <c r="C5" s="7" t="s">
        <v>13</v>
      </c>
      <c r="D5" s="7" t="s">
        <v>14</v>
      </c>
      <c r="E5" s="8">
        <v>38414</v>
      </c>
      <c r="F5" s="9">
        <v>6238587.4699999997</v>
      </c>
      <c r="G5" s="9">
        <v>6707310.9299999997</v>
      </c>
      <c r="H5" s="10">
        <v>81</v>
      </c>
      <c r="I5" s="10">
        <v>68</v>
      </c>
      <c r="J5" s="9">
        <v>4878764.4189999998</v>
      </c>
      <c r="K5" s="9">
        <v>4570511.12</v>
      </c>
      <c r="L5" s="11">
        <v>1</v>
      </c>
      <c r="M5" s="25">
        <f t="shared" si="0"/>
        <v>77019.598395061723</v>
      </c>
      <c r="N5" s="25">
        <f t="shared" si="1"/>
        <v>98636.92544117647</v>
      </c>
      <c r="O5" s="26">
        <f t="shared" si="2"/>
        <v>13</v>
      </c>
    </row>
    <row r="6" spans="1:15" s="12" customFormat="1" ht="40.75" customHeight="1" x14ac:dyDescent="0.2">
      <c r="A6" s="7" t="s">
        <v>15</v>
      </c>
      <c r="B6" s="7" t="s">
        <v>16</v>
      </c>
      <c r="C6" s="7" t="s">
        <v>17</v>
      </c>
      <c r="D6" s="7" t="s">
        <v>14</v>
      </c>
      <c r="E6" s="8">
        <v>44406</v>
      </c>
      <c r="F6" s="9">
        <v>1960674.25</v>
      </c>
      <c r="G6" s="9">
        <v>180665.17</v>
      </c>
      <c r="H6" s="10">
        <v>21</v>
      </c>
      <c r="I6" s="10">
        <v>3</v>
      </c>
      <c r="J6" s="9">
        <v>1632705.52</v>
      </c>
      <c r="K6" s="9">
        <v>172062.07</v>
      </c>
      <c r="L6" s="11">
        <v>1</v>
      </c>
      <c r="M6" s="25">
        <f t="shared" si="0"/>
        <v>93365.440476190473</v>
      </c>
      <c r="N6" s="25">
        <f t="shared" si="1"/>
        <v>60221.723333333335</v>
      </c>
      <c r="O6" s="26">
        <f t="shared" si="2"/>
        <v>18</v>
      </c>
    </row>
    <row r="7" spans="1:15" s="12" customFormat="1" ht="67.25" customHeight="1" x14ac:dyDescent="0.2">
      <c r="A7" s="7" t="s">
        <v>18</v>
      </c>
      <c r="B7" s="7" t="s">
        <v>19</v>
      </c>
      <c r="C7" s="7" t="s">
        <v>20</v>
      </c>
      <c r="D7" s="7" t="s">
        <v>10</v>
      </c>
      <c r="E7" s="8">
        <v>42773</v>
      </c>
      <c r="F7" s="9">
        <v>200305.38</v>
      </c>
      <c r="G7" s="9">
        <v>212968</v>
      </c>
      <c r="H7" s="10">
        <v>49</v>
      </c>
      <c r="I7" s="10">
        <v>8</v>
      </c>
      <c r="J7" s="9">
        <v>2248360.3489999999</v>
      </c>
      <c r="K7" s="9">
        <v>411157.489</v>
      </c>
      <c r="L7" s="11">
        <v>1</v>
      </c>
      <c r="M7" s="25">
        <f t="shared" si="0"/>
        <v>4087.864897959184</v>
      </c>
      <c r="N7" s="25">
        <f t="shared" si="1"/>
        <v>26621</v>
      </c>
      <c r="O7" s="26">
        <f t="shared" si="2"/>
        <v>41</v>
      </c>
    </row>
    <row r="8" spans="1:15" s="6" customFormat="1" ht="98" x14ac:dyDescent="0.2">
      <c r="A8" s="15" t="s">
        <v>33</v>
      </c>
      <c r="B8" s="15" t="s">
        <v>34</v>
      </c>
      <c r="C8" s="15" t="s">
        <v>35</v>
      </c>
      <c r="D8" s="15" t="s">
        <v>3</v>
      </c>
      <c r="E8" s="16">
        <v>34024</v>
      </c>
      <c r="F8" s="17">
        <v>263361289.859</v>
      </c>
      <c r="G8" s="17">
        <v>136433703</v>
      </c>
      <c r="H8" s="18">
        <v>404</v>
      </c>
      <c r="I8" s="18">
        <v>264</v>
      </c>
      <c r="J8" s="17">
        <v>38199170.089000002</v>
      </c>
      <c r="K8" s="17">
        <v>22380028</v>
      </c>
      <c r="L8" s="19">
        <v>0</v>
      </c>
      <c r="M8" s="25">
        <f t="shared" si="0"/>
        <v>651884.38083910896</v>
      </c>
      <c r="N8" s="25">
        <f t="shared" si="1"/>
        <v>516794.32954545453</v>
      </c>
      <c r="O8" s="26">
        <f t="shared" si="2"/>
        <v>140</v>
      </c>
    </row>
    <row r="9" spans="1:15" s="12" customFormat="1" ht="56" x14ac:dyDescent="0.2">
      <c r="A9" s="20" t="s">
        <v>36</v>
      </c>
      <c r="B9" s="20" t="s">
        <v>37</v>
      </c>
      <c r="C9" s="20" t="s">
        <v>38</v>
      </c>
      <c r="D9" s="20" t="s">
        <v>3</v>
      </c>
      <c r="E9" s="21">
        <v>20575</v>
      </c>
      <c r="F9" s="22">
        <v>160231000</v>
      </c>
      <c r="G9" s="22">
        <v>134392000</v>
      </c>
      <c r="H9" s="23">
        <v>583</v>
      </c>
      <c r="I9" s="23">
        <v>561</v>
      </c>
      <c r="J9" s="22">
        <v>61318000</v>
      </c>
      <c r="K9" s="22">
        <v>54012000</v>
      </c>
      <c r="L9" s="24">
        <v>0</v>
      </c>
      <c r="M9" s="25">
        <f t="shared" si="0"/>
        <v>274838.76500857633</v>
      </c>
      <c r="N9" s="25">
        <f t="shared" si="1"/>
        <v>239557.93226381461</v>
      </c>
      <c r="O9" s="26">
        <f t="shared" si="2"/>
        <v>22</v>
      </c>
    </row>
    <row r="10" spans="1:15" s="12" customFormat="1" ht="56" x14ac:dyDescent="0.2">
      <c r="A10" s="20" t="s">
        <v>39</v>
      </c>
      <c r="B10" s="20" t="s">
        <v>40</v>
      </c>
      <c r="C10" s="20" t="s">
        <v>41</v>
      </c>
      <c r="D10" s="20" t="s">
        <v>10</v>
      </c>
      <c r="E10" s="21">
        <v>35899</v>
      </c>
      <c r="F10" s="22">
        <v>60040769.5</v>
      </c>
      <c r="G10" s="22">
        <v>46074802.789999999</v>
      </c>
      <c r="H10" s="23">
        <v>134</v>
      </c>
      <c r="I10" s="23">
        <v>105</v>
      </c>
      <c r="J10" s="22">
        <v>19717824.699999999</v>
      </c>
      <c r="K10" s="22">
        <v>16780280.879999999</v>
      </c>
      <c r="L10" s="24">
        <v>0</v>
      </c>
      <c r="M10" s="25">
        <f t="shared" si="0"/>
        <v>448065.44402985077</v>
      </c>
      <c r="N10" s="25">
        <f t="shared" si="1"/>
        <v>438807.64561904763</v>
      </c>
      <c r="O10" s="26">
        <f t="shared" si="2"/>
        <v>29</v>
      </c>
    </row>
    <row r="11" spans="1:15" s="12" customFormat="1" ht="84" x14ac:dyDescent="0.2">
      <c r="A11" s="20" t="s">
        <v>42</v>
      </c>
      <c r="B11" s="20" t="s">
        <v>43</v>
      </c>
      <c r="C11" s="20" t="s">
        <v>44</v>
      </c>
      <c r="D11" s="20" t="s">
        <v>14</v>
      </c>
      <c r="E11" s="21">
        <v>41638</v>
      </c>
      <c r="F11" s="22">
        <v>4325070.3</v>
      </c>
      <c r="G11" s="22">
        <v>2031466.76</v>
      </c>
      <c r="H11" s="23">
        <v>52</v>
      </c>
      <c r="I11" s="23">
        <v>37</v>
      </c>
      <c r="J11" s="22">
        <v>3203373.29</v>
      </c>
      <c r="K11" s="22">
        <v>1718430.19</v>
      </c>
      <c r="L11" s="24">
        <v>0</v>
      </c>
      <c r="M11" s="25">
        <f t="shared" si="0"/>
        <v>83174.428846153838</v>
      </c>
      <c r="N11" s="25">
        <f t="shared" si="1"/>
        <v>54904.50702702703</v>
      </c>
      <c r="O11" s="26">
        <f t="shared" si="2"/>
        <v>15</v>
      </c>
    </row>
    <row r="12" spans="1:15" s="12" customFormat="1" ht="140" x14ac:dyDescent="0.2">
      <c r="A12" s="20" t="s">
        <v>45</v>
      </c>
      <c r="B12" s="20" t="s">
        <v>46</v>
      </c>
      <c r="C12" s="20" t="s">
        <v>47</v>
      </c>
      <c r="D12" s="20" t="s">
        <v>14</v>
      </c>
      <c r="E12" s="21">
        <v>38791</v>
      </c>
      <c r="F12" s="22">
        <v>4186146</v>
      </c>
      <c r="G12" s="22">
        <v>3815447</v>
      </c>
      <c r="H12" s="23">
        <v>52</v>
      </c>
      <c r="I12" s="23">
        <v>51</v>
      </c>
      <c r="J12" s="22">
        <v>3496441</v>
      </c>
      <c r="K12" s="22">
        <v>3042145</v>
      </c>
      <c r="L12" s="24">
        <v>0</v>
      </c>
      <c r="M12" s="25">
        <f t="shared" si="0"/>
        <v>80502.807692307688</v>
      </c>
      <c r="N12" s="25">
        <f t="shared" si="1"/>
        <v>74812.686274509804</v>
      </c>
      <c r="O12" s="26">
        <f t="shared" si="2"/>
        <v>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2025-04-30T15:39:16Z</dcterms:created>
  <dcterms:modified xsi:type="dcterms:W3CDTF">2025-04-30T17:24:06Z</dcterms:modified>
</cp:coreProperties>
</file>